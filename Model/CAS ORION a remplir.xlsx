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apti\Downloads\"/>
    </mc:Choice>
  </mc:AlternateContent>
  <xr:revisionPtr revIDLastSave="0" documentId="13_ncr:1_{946F4C31-A3BE-4B15-84E6-E4662456ACB3}" xr6:coauthVersionLast="47" xr6:coauthVersionMax="47" xr10:uidLastSave="{00000000-0000-0000-0000-000000000000}"/>
  <bookViews>
    <workbookView xWindow="38640" yWindow="3255" windowWidth="28800" windowHeight="11295" xr2:uid="{00000000-000D-0000-FFFF-FFFF00000000}"/>
  </bookViews>
  <sheets>
    <sheet name="COMPTE DE RESULTAT SIMPLIFIE" sheetId="1" r:id="rId1"/>
    <sheet name="bi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  <c r="B15" i="2"/>
  <c r="B41" i="2"/>
  <c r="B19" i="1" l="1"/>
  <c r="D35" i="2" l="1"/>
  <c r="B42" i="2"/>
  <c r="D23" i="2"/>
  <c r="D19" i="2"/>
  <c r="B26" i="2"/>
  <c r="B43" i="2" l="1"/>
  <c r="D43" i="2"/>
  <c r="B36" i="1"/>
  <c r="B34" i="1"/>
  <c r="D32" i="1"/>
  <c r="B32" i="1"/>
  <c r="B27" i="1"/>
  <c r="D27" i="1"/>
  <c r="D13" i="1"/>
  <c r="D19" i="1" l="1"/>
  <c r="D37" i="1" s="1"/>
  <c r="B37" i="1"/>
  <c r="D38" i="1" l="1"/>
  <c r="D39" i="1" s="1"/>
  <c r="B38" i="1"/>
  <c r="B39" i="1" s="1"/>
</calcChain>
</file>

<file path=xl/sharedStrings.xml><?xml version="1.0" encoding="utf-8"?>
<sst xmlns="http://schemas.openxmlformats.org/spreadsheetml/2006/main" count="141" uniqueCount="125">
  <si>
    <t>CHARGES (hors taxes)</t>
  </si>
  <si>
    <t>Charges d'exploitation</t>
  </si>
  <si>
    <t>Achats de marchandises</t>
  </si>
  <si>
    <t>Variation des stocks de marchandises</t>
  </si>
  <si>
    <t>Achats de matières 1ères et autres approvisionnements</t>
  </si>
  <si>
    <t>Variation de matières 1ères et autres approvisionnements</t>
  </si>
  <si>
    <t>Autres achats et charges externes</t>
  </si>
  <si>
    <t>Impôts, taxes et versements assimilés</t>
  </si>
  <si>
    <t>Salaires et traitements</t>
  </si>
  <si>
    <t>Charges sociales</t>
  </si>
  <si>
    <t>Dotations aux amortissements, aux dépréciations et aux provisions</t>
  </si>
  <si>
    <t xml:space="preserve">          Sur immobilisations : dotations aux amortissements</t>
  </si>
  <si>
    <t xml:space="preserve">          Sur immobilisations : dotations aux dépréciations</t>
  </si>
  <si>
    <t xml:space="preserve">          Sur actif circulant : dotations aux dépréciations</t>
  </si>
  <si>
    <t xml:space="preserve">          Pour risques et charges : dotations aux provisions</t>
  </si>
  <si>
    <t>Autres charges</t>
  </si>
  <si>
    <t>Charges financières</t>
  </si>
  <si>
    <t>Dotations aux amortissements, dépréciations et provisions</t>
  </si>
  <si>
    <t>Intérêts et charges assimilées</t>
  </si>
  <si>
    <t>Différences négatives de change</t>
  </si>
  <si>
    <t>Charges nettes sur cessions de valeurs mobilières de placement</t>
  </si>
  <si>
    <t>Charges exceptionnelles</t>
  </si>
  <si>
    <t>Sur opérations de gestion</t>
  </si>
  <si>
    <t>Sur opérations en capital</t>
  </si>
  <si>
    <t>TOTAL I</t>
  </si>
  <si>
    <t>TOTAL II</t>
  </si>
  <si>
    <t>TOTAL III</t>
  </si>
  <si>
    <t>Participation des salariés aux résultats</t>
  </si>
  <si>
    <t>TOTAL IV</t>
  </si>
  <si>
    <t>Impôts sur les bénéfices</t>
  </si>
  <si>
    <t>TOTAL V</t>
  </si>
  <si>
    <t>TOTAL I + II + III + IV + V</t>
  </si>
  <si>
    <t>Solde créditeur = Bénéfice (VI)</t>
  </si>
  <si>
    <t>PRODUITS (hors taxes)</t>
  </si>
  <si>
    <t>Produits d'exploitation</t>
  </si>
  <si>
    <t>Ventes de marchandises</t>
  </si>
  <si>
    <t>Productions vendue (biens et services)</t>
  </si>
  <si>
    <t>Sous total A (montant du CA)</t>
  </si>
  <si>
    <t>Production stockée</t>
  </si>
  <si>
    <t>Production immobilisée</t>
  </si>
  <si>
    <t>Subventions d'exploitation</t>
  </si>
  <si>
    <t>Reprises sur amortissements, dépréciations et provisions</t>
  </si>
  <si>
    <t>Autres produits</t>
  </si>
  <si>
    <t>Sous total B</t>
  </si>
  <si>
    <t>TOTAL I (A + B)</t>
  </si>
  <si>
    <t>Produits financiers</t>
  </si>
  <si>
    <t>De participations</t>
  </si>
  <si>
    <t>D'autres valeurs mobilières et créances de l'actif immobilisé</t>
  </si>
  <si>
    <t>Autres intérêts et produits assimilés</t>
  </si>
  <si>
    <t>Reprises sur dépréciations, provisions et transferts de charges</t>
  </si>
  <si>
    <t>Différences positives de change</t>
  </si>
  <si>
    <t>Produits nets sur cessions de valeurs mobilières de placement</t>
  </si>
  <si>
    <t>Produits exceptionnels</t>
  </si>
  <si>
    <t>TOTAL I + II + III</t>
  </si>
  <si>
    <t>Solde débiteur = Perte (IV)</t>
  </si>
  <si>
    <t>TOTAL GENERAL I + II + III + IV + V + IV</t>
  </si>
  <si>
    <t>TOTAL GENERAL I + II + III + IV</t>
  </si>
  <si>
    <t>COMPTE DE RESULTAT AU 31/12/N</t>
  </si>
  <si>
    <t>N</t>
  </si>
  <si>
    <t>BILAN AU 31/12/N</t>
  </si>
  <si>
    <t>ACTIF</t>
  </si>
  <si>
    <t>ACTIF IMMOBILISE (a)</t>
  </si>
  <si>
    <t>Immobilisations incorporelles:</t>
  </si>
  <si>
    <t>Frais d'établissement</t>
  </si>
  <si>
    <t>Frais de recherche et de développement</t>
  </si>
  <si>
    <t>Concessions, brevets, licences, marques, procédés, logiciels, droits et valeurs similaires</t>
  </si>
  <si>
    <t>Fonds commercial (1)</t>
  </si>
  <si>
    <t>Autres</t>
  </si>
  <si>
    <t>Avances et acomptes</t>
  </si>
  <si>
    <t>Immobilisations corporelles:</t>
  </si>
  <si>
    <t>Terrains</t>
  </si>
  <si>
    <t>Constructions</t>
  </si>
  <si>
    <t>Installations techniques, matériels, et outillage industriels</t>
  </si>
  <si>
    <t>Immobilisations corporelles en cours</t>
  </si>
  <si>
    <t>Participations (b)</t>
  </si>
  <si>
    <t>Créances rattachées à des participations</t>
  </si>
  <si>
    <t>Titres immobilisés de l'activité de portefeuille</t>
  </si>
  <si>
    <t>Autres titres immobilisés</t>
  </si>
  <si>
    <t>Prêts</t>
  </si>
  <si>
    <t>ACTIF CIRCULANT</t>
  </si>
  <si>
    <t>Matières premières et autres approvisionnements</t>
  </si>
  <si>
    <t>Produits intermédiaires et finis</t>
  </si>
  <si>
    <t>Marchandises</t>
  </si>
  <si>
    <t>Avances et acomptes versés sur commandes</t>
  </si>
  <si>
    <t>Capital souscrit - appelé, non versé</t>
  </si>
  <si>
    <t>Valeurs mobilières de placement (e):</t>
  </si>
  <si>
    <t>Disponibilités</t>
  </si>
  <si>
    <t>Primes d'émission, de fusion, d'apport,</t>
  </si>
  <si>
    <t>Réserves:</t>
  </si>
  <si>
    <t>Subventions d'investissement</t>
  </si>
  <si>
    <t>Provisions réglementées</t>
  </si>
  <si>
    <t>PROVISIONS POUR RISQUES ET CHARGES</t>
  </si>
  <si>
    <t>Provisions pour risques</t>
  </si>
  <si>
    <t>Provisions pour charges</t>
  </si>
  <si>
    <t>Emprunts obligataires convertibles</t>
  </si>
  <si>
    <t>Autres emprunts obligataires</t>
  </si>
  <si>
    <t>Avances et acomptes reçues sur commandes en cours</t>
  </si>
  <si>
    <t>Dettes fiscales et sociales</t>
  </si>
  <si>
    <t>Dettes sur immobilisations et Comptes rattachés</t>
  </si>
  <si>
    <t>Dettes fiscales (impôts sur bénéfices)</t>
  </si>
  <si>
    <t xml:space="preserve">      Réserve légale</t>
  </si>
  <si>
    <t xml:space="preserve">      Réserves statutaires ou contractuelles</t>
  </si>
  <si>
    <t xml:space="preserve">      Réserves réglementées</t>
  </si>
  <si>
    <t xml:space="preserve">      Autres</t>
  </si>
  <si>
    <t>PASSIF</t>
  </si>
  <si>
    <t>DETTES</t>
  </si>
  <si>
    <t>Autres Immobilisations incorporelles</t>
  </si>
  <si>
    <t>Autres Immobilisations corporelles</t>
  </si>
  <si>
    <t>Immobilisations financières :</t>
  </si>
  <si>
    <t>Stocks:</t>
  </si>
  <si>
    <t>En cours de production de biens</t>
  </si>
  <si>
    <t>En cours de production de services</t>
  </si>
  <si>
    <t>Créances:</t>
  </si>
  <si>
    <t>Créances clients et comptes rattachés</t>
  </si>
  <si>
    <t>Autres créances</t>
  </si>
  <si>
    <t>Divers:</t>
  </si>
  <si>
    <t>TOTAL GENERAL (I+II)</t>
  </si>
  <si>
    <t>TOTAL GENERAL (I + II + III)</t>
  </si>
  <si>
    <t>Capital</t>
  </si>
  <si>
    <t>CAPITAUX PROPRES</t>
  </si>
  <si>
    <t>Report à nouveau</t>
  </si>
  <si>
    <t>Résultat de l'exercice</t>
  </si>
  <si>
    <t>Emprunts et dettes auprès établissements de crédits</t>
  </si>
  <si>
    <t xml:space="preserve">Emprunts et dettes financières diverses </t>
  </si>
  <si>
    <t xml:space="preserve">Dettes Fournisseurs et Comptes rattachés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</si>
</sst>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??\ _€_-;_-@_-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"/>
      <name val="Verdana"/>
      <family val="2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3" borderId="0" xfId="0" applyFill="1"/>
    <xf numFmtId="0" fontId="0" fillId="3" borderId="0" xfId="0" applyFill="1" applyBorder="1" applyAlignment="1">
      <alignment vertical="top" wrapText="1"/>
    </xf>
    <xf numFmtId="0" fontId="0" fillId="3" borderId="1" xfId="0" applyFill="1" applyBorder="1"/>
    <xf numFmtId="0" fontId="3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" fillId="3" borderId="1" xfId="0" applyFont="1" applyFill="1" applyBorder="1"/>
    <xf numFmtId="0" fontId="2" fillId="2" borderId="2" xfId="0" applyFont="1" applyFill="1" applyBorder="1" applyAlignment="1">
      <alignment vertical="top" wrapText="1"/>
    </xf>
    <xf numFmtId="0" fontId="0" fillId="2" borderId="3" xfId="0" applyFill="1" applyBorder="1" applyAlignment="1">
      <alignment horizontal="center" vertical="top" wrapText="1"/>
    </xf>
    <xf numFmtId="0" fontId="2" fillId="2" borderId="4" xfId="0" applyFont="1" applyFill="1" applyBorder="1" applyAlignment="1">
      <alignment vertical="top" wrapText="1"/>
    </xf>
    <xf numFmtId="0" fontId="1" fillId="3" borderId="6" xfId="0" applyFont="1" applyFill="1" applyBorder="1"/>
    <xf numFmtId="0" fontId="1" fillId="3" borderId="0" xfId="0" applyFont="1" applyFill="1" applyBorder="1"/>
    <xf numFmtId="0" fontId="0" fillId="3" borderId="8" xfId="0" applyFill="1" applyBorder="1"/>
    <xf numFmtId="0" fontId="0" fillId="3" borderId="0" xfId="0" applyFill="1" applyBorder="1"/>
    <xf numFmtId="0" fontId="0" fillId="3" borderId="10" xfId="0" applyFill="1" applyBorder="1"/>
    <xf numFmtId="0" fontId="1" fillId="3" borderId="8" xfId="0" applyFont="1" applyFill="1" applyBorder="1" applyAlignment="1">
      <alignment horizontal="right"/>
    </xf>
    <xf numFmtId="0" fontId="1" fillId="3" borderId="8" xfId="0" applyFont="1" applyFill="1" applyBorder="1"/>
    <xf numFmtId="0" fontId="0" fillId="3" borderId="6" xfId="0" applyFill="1" applyBorder="1"/>
    <xf numFmtId="0" fontId="1" fillId="3" borderId="11" xfId="0" applyFont="1" applyFill="1" applyBorder="1"/>
    <xf numFmtId="0" fontId="1" fillId="3" borderId="12" xfId="0" applyFont="1" applyFill="1" applyBorder="1"/>
    <xf numFmtId="164" fontId="0" fillId="3" borderId="0" xfId="0" applyNumberFormat="1" applyFill="1"/>
    <xf numFmtId="164" fontId="0" fillId="2" borderId="5" xfId="0" applyNumberFormat="1" applyFill="1" applyBorder="1" applyAlignment="1">
      <alignment horizontal="center" vertical="top" wrapText="1"/>
    </xf>
    <xf numFmtId="164" fontId="0" fillId="3" borderId="7" xfId="0" applyNumberFormat="1" applyFill="1" applyBorder="1" applyAlignment="1">
      <alignment vertical="top" wrapText="1"/>
    </xf>
    <xf numFmtId="0" fontId="0" fillId="3" borderId="0" xfId="0" applyFill="1" applyAlignment="1">
      <alignment horizontal="center"/>
    </xf>
    <xf numFmtId="0" fontId="1" fillId="3" borderId="14" xfId="0" applyFont="1" applyFill="1" applyBorder="1"/>
    <xf numFmtId="0" fontId="1" fillId="3" borderId="15" xfId="0" applyFont="1" applyFill="1" applyBorder="1" applyAlignment="1">
      <alignment horizontal="center"/>
    </xf>
    <xf numFmtId="0" fontId="1" fillId="3" borderId="15" xfId="0" applyFont="1" applyFill="1" applyBorder="1"/>
    <xf numFmtId="0" fontId="1" fillId="3" borderId="16" xfId="0" applyFont="1" applyFill="1" applyBorder="1" applyAlignment="1">
      <alignment horizontal="center"/>
    </xf>
    <xf numFmtId="0" fontId="5" fillId="3" borderId="8" xfId="0" applyFont="1" applyFill="1" applyBorder="1"/>
    <xf numFmtId="0" fontId="1" fillId="3" borderId="11" xfId="0" applyFont="1" applyFill="1" applyBorder="1" applyAlignment="1">
      <alignment horizontal="right"/>
    </xf>
    <xf numFmtId="0" fontId="1" fillId="3" borderId="12" xfId="0" applyFont="1" applyFill="1" applyBorder="1" applyAlignment="1">
      <alignment horizontal="right"/>
    </xf>
    <xf numFmtId="0" fontId="7" fillId="3" borderId="8" xfId="0" applyFont="1" applyFill="1" applyBorder="1"/>
    <xf numFmtId="0" fontId="7" fillId="0" borderId="8" xfId="0" applyFont="1" applyFill="1" applyBorder="1"/>
    <xf numFmtId="0" fontId="1" fillId="3" borderId="17" xfId="0" applyFont="1" applyFill="1" applyBorder="1" applyAlignment="1">
      <alignment horizontal="right"/>
    </xf>
    <xf numFmtId="0" fontId="1" fillId="3" borderId="17" xfId="0" applyFont="1" applyFill="1" applyBorder="1"/>
    <xf numFmtId="0" fontId="0" fillId="3" borderId="17" xfId="0" applyFill="1" applyBorder="1"/>
    <xf numFmtId="0" fontId="7" fillId="3" borderId="1" xfId="0" applyFont="1" applyFill="1" applyBorder="1"/>
    <xf numFmtId="0" fontId="6" fillId="3" borderId="9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12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/>
    </xf>
    <xf numFmtId="0" fontId="6" fillId="0" borderId="9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164" fontId="8" fillId="3" borderId="9" xfId="0" applyNumberFormat="1" applyFont="1" applyFill="1" applyBorder="1"/>
    <xf numFmtId="164" fontId="8" fillId="3" borderId="0" xfId="0" applyNumberFormat="1" applyFont="1" applyFill="1"/>
    <xf numFmtId="164" fontId="8" fillId="3" borderId="16" xfId="0" applyNumberFormat="1" applyFont="1" applyFill="1" applyBorder="1" applyAlignment="1">
      <alignment horizontal="center" vertical="top" wrapText="1"/>
    </xf>
    <xf numFmtId="164" fontId="8" fillId="3" borderId="7" xfId="0" applyNumberFormat="1" applyFont="1" applyFill="1" applyBorder="1" applyAlignment="1">
      <alignment vertical="top" wrapText="1"/>
    </xf>
    <xf numFmtId="164" fontId="8" fillId="3" borderId="1" xfId="0" applyNumberFormat="1" applyFont="1" applyFill="1" applyBorder="1"/>
    <xf numFmtId="164" fontId="8" fillId="3" borderId="7" xfId="0" applyNumberFormat="1" applyFont="1" applyFill="1" applyBorder="1"/>
    <xf numFmtId="164" fontId="8" fillId="0" borderId="7" xfId="0" applyNumberFormat="1" applyFont="1" applyFill="1" applyBorder="1"/>
    <xf numFmtId="164" fontId="9" fillId="3" borderId="9" xfId="0" applyNumberFormat="1" applyFont="1" applyFill="1" applyBorder="1"/>
    <xf numFmtId="164" fontId="8" fillId="3" borderId="1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9" zoomScaleNormal="100" workbookViewId="0">
      <selection activeCell="D30" sqref="D30"/>
    </sheetView>
  </sheetViews>
  <sheetFormatPr baseColWidth="10" defaultRowHeight="15" x14ac:dyDescent="0.25"/>
  <cols>
    <col min="1" max="1" width="65.85546875" style="1" customWidth="1"/>
    <col min="2" max="2" width="13" style="1" customWidth="1"/>
    <col min="3" max="3" width="60.85546875" style="1" customWidth="1"/>
    <col min="4" max="4" width="18.28515625" style="20" customWidth="1"/>
    <col min="5" max="16384" width="11.42578125" style="1"/>
  </cols>
  <sheetData>
    <row r="1" spans="1:4" ht="15.75" x14ac:dyDescent="0.25">
      <c r="A1" s="44" t="s">
        <v>57</v>
      </c>
      <c r="B1" s="44"/>
      <c r="C1" s="44"/>
      <c r="D1" s="44"/>
    </row>
    <row r="2" spans="1:4" ht="15.75" thickBot="1" x14ac:dyDescent="0.3"/>
    <row r="3" spans="1:4" ht="15" customHeight="1" x14ac:dyDescent="0.25">
      <c r="A3" s="7" t="s">
        <v>0</v>
      </c>
      <c r="B3" s="8" t="s">
        <v>58</v>
      </c>
      <c r="C3" s="9" t="s">
        <v>33</v>
      </c>
      <c r="D3" s="21" t="s">
        <v>58</v>
      </c>
    </row>
    <row r="4" spans="1:4" x14ac:dyDescent="0.25">
      <c r="A4" s="10" t="s">
        <v>1</v>
      </c>
      <c r="B4" s="2"/>
      <c r="C4" s="11" t="s">
        <v>34</v>
      </c>
      <c r="D4" s="22"/>
    </row>
    <row r="5" spans="1:4" x14ac:dyDescent="0.25">
      <c r="A5" s="31" t="s">
        <v>2</v>
      </c>
      <c r="B5" s="45"/>
      <c r="C5" s="36" t="s">
        <v>35</v>
      </c>
      <c r="D5" s="45"/>
    </row>
    <row r="6" spans="1:4" ht="15.75" thickBot="1" x14ac:dyDescent="0.3">
      <c r="A6" s="31" t="s">
        <v>3</v>
      </c>
      <c r="B6" s="46"/>
      <c r="C6" s="3" t="s">
        <v>36</v>
      </c>
      <c r="D6" s="45"/>
    </row>
    <row r="7" spans="1:4" x14ac:dyDescent="0.25">
      <c r="A7" s="12" t="s">
        <v>4</v>
      </c>
      <c r="B7" s="47"/>
      <c r="C7" s="4" t="s">
        <v>37</v>
      </c>
      <c r="D7" s="45">
        <f>SUM(D5:D6)</f>
        <v>0</v>
      </c>
    </row>
    <row r="8" spans="1:4" x14ac:dyDescent="0.25">
      <c r="A8" s="12" t="s">
        <v>5</v>
      </c>
      <c r="B8" s="48"/>
      <c r="C8" s="3" t="s">
        <v>38</v>
      </c>
      <c r="D8" s="45"/>
    </row>
    <row r="9" spans="1:4" x14ac:dyDescent="0.25">
      <c r="A9" s="32" t="s">
        <v>6</v>
      </c>
      <c r="B9" s="45"/>
      <c r="C9" s="3" t="s">
        <v>39</v>
      </c>
      <c r="D9" s="45"/>
    </row>
    <row r="10" spans="1:4" x14ac:dyDescent="0.25">
      <c r="A10" s="12" t="s">
        <v>7</v>
      </c>
      <c r="B10" s="45"/>
      <c r="C10" s="3" t="s">
        <v>40</v>
      </c>
      <c r="D10" s="45"/>
    </row>
    <row r="11" spans="1:4" x14ac:dyDescent="0.25">
      <c r="A11" s="12" t="s">
        <v>8</v>
      </c>
      <c r="B11" s="45"/>
      <c r="C11" s="3" t="s">
        <v>41</v>
      </c>
      <c r="D11" s="45"/>
    </row>
    <row r="12" spans="1:4" x14ac:dyDescent="0.25">
      <c r="A12" s="31" t="s">
        <v>9</v>
      </c>
      <c r="B12" s="45"/>
      <c r="C12" s="3" t="s">
        <v>42</v>
      </c>
      <c r="D12" s="45"/>
    </row>
    <row r="13" spans="1:4" x14ac:dyDescent="0.25">
      <c r="A13" s="12" t="s">
        <v>10</v>
      </c>
      <c r="B13" s="45"/>
      <c r="C13" s="4" t="s">
        <v>43</v>
      </c>
      <c r="D13" s="45">
        <f>SUM(D8:D12)</f>
        <v>0</v>
      </c>
    </row>
    <row r="14" spans="1:4" x14ac:dyDescent="0.25">
      <c r="A14" s="12" t="s">
        <v>11</v>
      </c>
      <c r="B14" s="45"/>
      <c r="C14" s="13"/>
      <c r="D14" s="50"/>
    </row>
    <row r="15" spans="1:4" x14ac:dyDescent="0.25">
      <c r="A15" s="12" t="s">
        <v>12</v>
      </c>
      <c r="B15" s="45"/>
      <c r="C15" s="13"/>
      <c r="D15" s="50"/>
    </row>
    <row r="16" spans="1:4" x14ac:dyDescent="0.25">
      <c r="A16" s="12" t="s">
        <v>13</v>
      </c>
      <c r="B16" s="45"/>
      <c r="C16" s="13"/>
      <c r="D16" s="50"/>
    </row>
    <row r="17" spans="1:4" x14ac:dyDescent="0.25">
      <c r="A17" s="12" t="s">
        <v>14</v>
      </c>
      <c r="B17" s="45"/>
      <c r="C17" s="13"/>
      <c r="D17" s="50"/>
    </row>
    <row r="18" spans="1:4" x14ac:dyDescent="0.25">
      <c r="A18" s="14" t="s">
        <v>15</v>
      </c>
      <c r="B18" s="49"/>
      <c r="C18" s="13"/>
      <c r="D18" s="50"/>
    </row>
    <row r="19" spans="1:4" x14ac:dyDescent="0.25">
      <c r="A19" s="15" t="s">
        <v>24</v>
      </c>
      <c r="B19" s="49">
        <f>SUM(B5:B18)</f>
        <v>0</v>
      </c>
      <c r="C19" s="33" t="s">
        <v>44</v>
      </c>
      <c r="D19" s="45">
        <f>+D7+D13</f>
        <v>0</v>
      </c>
    </row>
    <row r="20" spans="1:4" x14ac:dyDescent="0.25">
      <c r="A20" s="16" t="s">
        <v>16</v>
      </c>
      <c r="B20" s="49"/>
      <c r="C20" s="34" t="s">
        <v>45</v>
      </c>
      <c r="D20" s="45"/>
    </row>
    <row r="21" spans="1:4" x14ac:dyDescent="0.25">
      <c r="A21" s="12" t="s">
        <v>17</v>
      </c>
      <c r="B21" s="49"/>
      <c r="C21" s="35" t="s">
        <v>46</v>
      </c>
      <c r="D21" s="45"/>
    </row>
    <row r="22" spans="1:4" x14ac:dyDescent="0.25">
      <c r="A22" s="31" t="s">
        <v>18</v>
      </c>
      <c r="B22" s="49"/>
      <c r="C22" s="35" t="s">
        <v>47</v>
      </c>
      <c r="D22" s="45"/>
    </row>
    <row r="23" spans="1:4" x14ac:dyDescent="0.25">
      <c r="A23" s="12" t="s">
        <v>19</v>
      </c>
      <c r="B23" s="45"/>
      <c r="C23" s="36" t="s">
        <v>48</v>
      </c>
      <c r="D23" s="45"/>
    </row>
    <row r="24" spans="1:4" x14ac:dyDescent="0.25">
      <c r="A24" s="12" t="s">
        <v>20</v>
      </c>
      <c r="B24" s="45"/>
      <c r="C24" s="3" t="s">
        <v>49</v>
      </c>
      <c r="D24" s="45"/>
    </row>
    <row r="25" spans="1:4" x14ac:dyDescent="0.25">
      <c r="A25" s="17"/>
      <c r="B25" s="45"/>
      <c r="C25" s="3" t="s">
        <v>50</v>
      </c>
      <c r="D25" s="45"/>
    </row>
    <row r="26" spans="1:4" x14ac:dyDescent="0.25">
      <c r="A26" s="17"/>
      <c r="B26" s="45"/>
      <c r="C26" s="3" t="s">
        <v>51</v>
      </c>
      <c r="D26" s="45"/>
    </row>
    <row r="27" spans="1:4" x14ac:dyDescent="0.25">
      <c r="A27" s="15" t="s">
        <v>25</v>
      </c>
      <c r="B27" s="45">
        <f>SUM(B21:B24)</f>
        <v>0</v>
      </c>
      <c r="C27" s="5" t="s">
        <v>25</v>
      </c>
      <c r="D27" s="45">
        <f>SUM(D21:D26)</f>
        <v>0</v>
      </c>
    </row>
    <row r="28" spans="1:4" x14ac:dyDescent="0.25">
      <c r="A28" s="16" t="s">
        <v>21</v>
      </c>
      <c r="B28" s="45"/>
      <c r="C28" s="6" t="s">
        <v>52</v>
      </c>
      <c r="D28" s="45"/>
    </row>
    <row r="29" spans="1:4" x14ac:dyDescent="0.25">
      <c r="A29" s="31" t="s">
        <v>22</v>
      </c>
      <c r="B29" s="45"/>
      <c r="C29" s="36" t="s">
        <v>22</v>
      </c>
      <c r="D29" s="45"/>
    </row>
    <row r="30" spans="1:4" x14ac:dyDescent="0.25">
      <c r="A30" s="12" t="s">
        <v>23</v>
      </c>
      <c r="B30" s="45"/>
      <c r="C30" s="3" t="s">
        <v>23</v>
      </c>
      <c r="D30" s="45"/>
    </row>
    <row r="31" spans="1:4" x14ac:dyDescent="0.25">
      <c r="A31" s="12" t="s">
        <v>17</v>
      </c>
      <c r="B31" s="45"/>
      <c r="C31" s="3" t="s">
        <v>49</v>
      </c>
      <c r="D31" s="45"/>
    </row>
    <row r="32" spans="1:4" x14ac:dyDescent="0.25">
      <c r="A32" s="15" t="s">
        <v>26</v>
      </c>
      <c r="B32" s="45">
        <f>SUM(B29:B31)</f>
        <v>0</v>
      </c>
      <c r="C32" s="5" t="s">
        <v>26</v>
      </c>
      <c r="D32" s="45">
        <f>SUM(D29:D31)</f>
        <v>0</v>
      </c>
    </row>
    <row r="33" spans="1:4" x14ac:dyDescent="0.25">
      <c r="A33" s="12" t="s">
        <v>27</v>
      </c>
      <c r="B33" s="45"/>
      <c r="C33" s="13"/>
      <c r="D33" s="50"/>
    </row>
    <row r="34" spans="1:4" x14ac:dyDescent="0.25">
      <c r="A34" s="15" t="s">
        <v>28</v>
      </c>
      <c r="B34" s="45">
        <f>+B33</f>
        <v>0</v>
      </c>
      <c r="C34" s="13"/>
      <c r="D34" s="50"/>
    </row>
    <row r="35" spans="1:4" x14ac:dyDescent="0.25">
      <c r="A35" s="12" t="s">
        <v>29</v>
      </c>
      <c r="B35" s="45"/>
      <c r="C35" s="13"/>
      <c r="D35" s="50"/>
    </row>
    <row r="36" spans="1:4" x14ac:dyDescent="0.25">
      <c r="A36" s="15" t="s">
        <v>30</v>
      </c>
      <c r="B36" s="45">
        <f>+B35</f>
        <v>0</v>
      </c>
      <c r="C36" s="13"/>
      <c r="D36" s="50"/>
    </row>
    <row r="37" spans="1:4" x14ac:dyDescent="0.25">
      <c r="A37" s="15" t="s">
        <v>31</v>
      </c>
      <c r="B37" s="50">
        <f>+B19+B27+B32+B34+B36</f>
        <v>0</v>
      </c>
      <c r="C37" s="5" t="s">
        <v>53</v>
      </c>
      <c r="D37" s="45">
        <f>+D19+D27+D32</f>
        <v>0</v>
      </c>
    </row>
    <row r="38" spans="1:4" x14ac:dyDescent="0.25">
      <c r="A38" s="15" t="s">
        <v>32</v>
      </c>
      <c r="B38" s="51">
        <f>IF(D37-B37&gt;0,D37-B37,0)</f>
        <v>0</v>
      </c>
      <c r="C38" s="6" t="s">
        <v>54</v>
      </c>
      <c r="D38" s="52">
        <f>IF(D37-B37&lt;0,B37-D37,0)</f>
        <v>0</v>
      </c>
    </row>
    <row r="39" spans="1:4" ht="15.75" thickBot="1" x14ac:dyDescent="0.3">
      <c r="A39" s="18" t="s">
        <v>55</v>
      </c>
      <c r="B39" s="50">
        <f>+B19+B27+B32+B34+B36+B38</f>
        <v>0</v>
      </c>
      <c r="C39" s="19" t="s">
        <v>56</v>
      </c>
      <c r="D39" s="53">
        <f>+D37+D38</f>
        <v>0</v>
      </c>
    </row>
  </sheetData>
  <mergeCells count="1">
    <mergeCell ref="A1:D1"/>
  </mergeCells>
  <pageMargins left="0.7" right="0.7" top="0.75" bottom="0.75" header="0.3" footer="0.3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workbookViewId="0">
      <selection activeCell="G11" sqref="G11"/>
    </sheetView>
  </sheetViews>
  <sheetFormatPr baseColWidth="10" defaultRowHeight="15" x14ac:dyDescent="0.25"/>
  <cols>
    <col min="1" max="1" width="80" style="1" bestFit="1" customWidth="1"/>
    <col min="2" max="2" width="11.42578125" style="23"/>
    <col min="3" max="3" width="51.28515625" style="1" bestFit="1" customWidth="1"/>
    <col min="4" max="4" width="11.42578125" style="23"/>
    <col min="5" max="16384" width="11.42578125" style="1"/>
  </cols>
  <sheetData>
    <row r="1" spans="1:4" ht="15.75" x14ac:dyDescent="0.25">
      <c r="A1" s="44" t="s">
        <v>59</v>
      </c>
      <c r="B1" s="44"/>
      <c r="C1" s="44"/>
    </row>
    <row r="2" spans="1:4" ht="15.75" thickBot="1" x14ac:dyDescent="0.3"/>
    <row r="3" spans="1:4" x14ac:dyDescent="0.25">
      <c r="A3" s="24" t="s">
        <v>60</v>
      </c>
      <c r="B3" s="25" t="s">
        <v>58</v>
      </c>
      <c r="C3" s="26" t="s">
        <v>104</v>
      </c>
      <c r="D3" s="27" t="s">
        <v>58</v>
      </c>
    </row>
    <row r="4" spans="1:4" x14ac:dyDescent="0.25">
      <c r="A4" s="16" t="s">
        <v>61</v>
      </c>
      <c r="B4" s="40"/>
      <c r="C4" s="6" t="s">
        <v>119</v>
      </c>
      <c r="D4" s="37"/>
    </row>
    <row r="5" spans="1:4" x14ac:dyDescent="0.25">
      <c r="A5" s="28" t="s">
        <v>62</v>
      </c>
      <c r="B5" s="40"/>
      <c r="C5" s="6"/>
      <c r="D5" s="37"/>
    </row>
    <row r="6" spans="1:4" x14ac:dyDescent="0.25">
      <c r="A6" s="12" t="s">
        <v>63</v>
      </c>
      <c r="B6" s="40"/>
      <c r="C6" s="36" t="s">
        <v>118</v>
      </c>
      <c r="D6" s="37">
        <v>300000</v>
      </c>
    </row>
    <row r="7" spans="1:4" x14ac:dyDescent="0.25">
      <c r="A7" s="12" t="s">
        <v>64</v>
      </c>
      <c r="B7" s="40"/>
      <c r="C7" s="3" t="s">
        <v>87</v>
      </c>
      <c r="D7" s="37"/>
    </row>
    <row r="8" spans="1:4" x14ac:dyDescent="0.25">
      <c r="A8" s="12" t="s">
        <v>65</v>
      </c>
      <c r="B8" s="40"/>
      <c r="C8" s="3" t="s">
        <v>88</v>
      </c>
      <c r="D8" s="37"/>
    </row>
    <row r="9" spans="1:4" x14ac:dyDescent="0.25">
      <c r="A9" s="12" t="s">
        <v>66</v>
      </c>
      <c r="B9" s="40"/>
      <c r="C9" s="3" t="s">
        <v>100</v>
      </c>
      <c r="D9" s="37"/>
    </row>
    <row r="10" spans="1:4" x14ac:dyDescent="0.25">
      <c r="A10" s="12" t="s">
        <v>106</v>
      </c>
      <c r="B10" s="40"/>
      <c r="C10" s="3" t="s">
        <v>101</v>
      </c>
      <c r="D10" s="37"/>
    </row>
    <row r="11" spans="1:4" x14ac:dyDescent="0.25">
      <c r="A11" s="12" t="s">
        <v>68</v>
      </c>
      <c r="B11" s="40"/>
      <c r="C11" s="3" t="s">
        <v>102</v>
      </c>
      <c r="D11" s="37"/>
    </row>
    <row r="12" spans="1:4" x14ac:dyDescent="0.25">
      <c r="A12" s="28" t="s">
        <v>69</v>
      </c>
      <c r="B12" s="40"/>
      <c r="C12" s="3" t="s">
        <v>103</v>
      </c>
      <c r="D12" s="37"/>
    </row>
    <row r="13" spans="1:4" x14ac:dyDescent="0.25">
      <c r="A13" s="12" t="s">
        <v>70</v>
      </c>
      <c r="B13" s="40"/>
      <c r="C13" s="3" t="s">
        <v>120</v>
      </c>
      <c r="D13" s="37"/>
    </row>
    <row r="14" spans="1:4" x14ac:dyDescent="0.25">
      <c r="A14" s="12" t="s">
        <v>71</v>
      </c>
      <c r="B14" s="40"/>
      <c r="C14" s="42" t="s">
        <v>121</v>
      </c>
      <c r="D14" s="43">
        <v>58500</v>
      </c>
    </row>
    <row r="15" spans="1:4" x14ac:dyDescent="0.25">
      <c r="A15" s="31" t="s">
        <v>72</v>
      </c>
      <c r="B15" s="40">
        <f>250000+50000</f>
        <v>300000</v>
      </c>
      <c r="C15" s="3" t="s">
        <v>89</v>
      </c>
      <c r="D15" s="37"/>
    </row>
    <row r="16" spans="1:4" x14ac:dyDescent="0.25">
      <c r="A16" s="12" t="s">
        <v>107</v>
      </c>
      <c r="B16" s="40"/>
      <c r="C16" s="3" t="s">
        <v>90</v>
      </c>
      <c r="D16" s="37"/>
    </row>
    <row r="17" spans="1:4" x14ac:dyDescent="0.25">
      <c r="A17" s="12" t="s">
        <v>73</v>
      </c>
      <c r="B17" s="40"/>
      <c r="C17" s="3"/>
      <c r="D17" s="37"/>
    </row>
    <row r="18" spans="1:4" x14ac:dyDescent="0.25">
      <c r="A18" s="12" t="s">
        <v>68</v>
      </c>
      <c r="B18" s="40"/>
      <c r="C18" s="3"/>
      <c r="D18" s="37"/>
    </row>
    <row r="19" spans="1:4" x14ac:dyDescent="0.25">
      <c r="A19" s="28" t="s">
        <v>108</v>
      </c>
      <c r="B19" s="40"/>
      <c r="C19" s="5" t="s">
        <v>24</v>
      </c>
      <c r="D19" s="37">
        <f>SUM(D4:D18)</f>
        <v>358500</v>
      </c>
    </row>
    <row r="20" spans="1:4" x14ac:dyDescent="0.25">
      <c r="A20" s="12" t="s">
        <v>74</v>
      </c>
      <c r="B20" s="40"/>
      <c r="C20" s="6" t="s">
        <v>91</v>
      </c>
      <c r="D20" s="37"/>
    </row>
    <row r="21" spans="1:4" x14ac:dyDescent="0.25">
      <c r="A21" s="12" t="s">
        <v>75</v>
      </c>
      <c r="B21" s="40"/>
      <c r="C21" s="3" t="s">
        <v>92</v>
      </c>
      <c r="D21" s="37"/>
    </row>
    <row r="22" spans="1:4" x14ac:dyDescent="0.25">
      <c r="A22" s="31" t="s">
        <v>76</v>
      </c>
      <c r="B22" s="40">
        <v>100000</v>
      </c>
      <c r="C22" s="3" t="s">
        <v>93</v>
      </c>
      <c r="D22" s="37"/>
    </row>
    <row r="23" spans="1:4" x14ac:dyDescent="0.25">
      <c r="A23" s="12" t="s">
        <v>77</v>
      </c>
      <c r="B23" s="40"/>
      <c r="C23" s="5" t="s">
        <v>25</v>
      </c>
      <c r="D23" s="37">
        <f>+D21+D22</f>
        <v>0</v>
      </c>
    </row>
    <row r="24" spans="1:4" x14ac:dyDescent="0.25">
      <c r="A24" s="12" t="s">
        <v>78</v>
      </c>
      <c r="B24" s="40"/>
      <c r="C24" s="6" t="s">
        <v>105</v>
      </c>
      <c r="D24" s="37"/>
    </row>
    <row r="25" spans="1:4" x14ac:dyDescent="0.25">
      <c r="A25" s="12" t="s">
        <v>67</v>
      </c>
      <c r="B25" s="40"/>
      <c r="C25" s="3" t="s">
        <v>94</v>
      </c>
      <c r="D25" s="37"/>
    </row>
    <row r="26" spans="1:4" x14ac:dyDescent="0.25">
      <c r="A26" s="15" t="s">
        <v>24</v>
      </c>
      <c r="B26" s="40">
        <f>SUM(B4:B25)</f>
        <v>400000</v>
      </c>
      <c r="C26" s="3" t="s">
        <v>95</v>
      </c>
      <c r="D26" s="37"/>
    </row>
    <row r="27" spans="1:4" x14ac:dyDescent="0.25">
      <c r="A27" s="16" t="s">
        <v>79</v>
      </c>
      <c r="B27" s="40"/>
      <c r="C27" s="36" t="s">
        <v>122</v>
      </c>
      <c r="D27" s="37">
        <v>200000</v>
      </c>
    </row>
    <row r="28" spans="1:4" x14ac:dyDescent="0.25">
      <c r="A28" s="28" t="s">
        <v>109</v>
      </c>
      <c r="B28" s="40"/>
      <c r="C28" s="3" t="s">
        <v>123</v>
      </c>
      <c r="D28" s="37"/>
    </row>
    <row r="29" spans="1:4" x14ac:dyDescent="0.25">
      <c r="A29" s="12" t="s">
        <v>80</v>
      </c>
      <c r="B29" s="40"/>
      <c r="C29" s="3" t="s">
        <v>96</v>
      </c>
      <c r="D29" s="37"/>
    </row>
    <row r="30" spans="1:4" x14ac:dyDescent="0.25">
      <c r="A30" s="12" t="s">
        <v>110</v>
      </c>
      <c r="B30" s="40"/>
      <c r="C30" s="36" t="s">
        <v>124</v>
      </c>
      <c r="D30" s="37">
        <v>320000</v>
      </c>
    </row>
    <row r="31" spans="1:4" x14ac:dyDescent="0.25">
      <c r="A31" s="12" t="s">
        <v>111</v>
      </c>
      <c r="B31" s="40"/>
      <c r="C31" s="36" t="s">
        <v>97</v>
      </c>
      <c r="D31" s="37">
        <v>50000</v>
      </c>
    </row>
    <row r="32" spans="1:4" x14ac:dyDescent="0.25">
      <c r="A32" s="12" t="s">
        <v>81</v>
      </c>
      <c r="B32" s="40"/>
      <c r="C32" s="3" t="s">
        <v>98</v>
      </c>
      <c r="D32" s="37"/>
    </row>
    <row r="33" spans="1:4" x14ac:dyDescent="0.25">
      <c r="A33" s="31" t="s">
        <v>82</v>
      </c>
      <c r="B33" s="40">
        <v>300000</v>
      </c>
      <c r="C33" s="3" t="s">
        <v>99</v>
      </c>
      <c r="D33" s="37"/>
    </row>
    <row r="34" spans="1:4" x14ac:dyDescent="0.25">
      <c r="A34" s="12" t="s">
        <v>83</v>
      </c>
      <c r="B34" s="40"/>
      <c r="C34" s="3" t="s">
        <v>67</v>
      </c>
      <c r="D34" s="37"/>
    </row>
    <row r="35" spans="1:4" x14ac:dyDescent="0.25">
      <c r="A35" s="28" t="s">
        <v>112</v>
      </c>
      <c r="B35" s="40"/>
      <c r="C35" s="5" t="s">
        <v>26</v>
      </c>
      <c r="D35" s="37">
        <f>SUM(D25:D34)</f>
        <v>570000</v>
      </c>
    </row>
    <row r="36" spans="1:4" x14ac:dyDescent="0.25">
      <c r="A36" s="31" t="s">
        <v>113</v>
      </c>
      <c r="B36" s="40">
        <v>109250</v>
      </c>
      <c r="C36" s="13"/>
      <c r="D36" s="38"/>
    </row>
    <row r="37" spans="1:4" x14ac:dyDescent="0.25">
      <c r="A37" s="12" t="s">
        <v>114</v>
      </c>
      <c r="B37" s="40"/>
      <c r="C37" s="13"/>
      <c r="D37" s="38"/>
    </row>
    <row r="38" spans="1:4" x14ac:dyDescent="0.25">
      <c r="A38" s="12" t="s">
        <v>84</v>
      </c>
      <c r="B38" s="40"/>
      <c r="C38" s="13"/>
      <c r="D38" s="38"/>
    </row>
    <row r="39" spans="1:4" x14ac:dyDescent="0.25">
      <c r="A39" s="28" t="s">
        <v>115</v>
      </c>
      <c r="B39" s="40"/>
      <c r="C39" s="13"/>
      <c r="D39" s="38"/>
    </row>
    <row r="40" spans="1:4" x14ac:dyDescent="0.25">
      <c r="A40" s="12" t="s">
        <v>85</v>
      </c>
      <c r="B40" s="40"/>
      <c r="C40" s="13"/>
      <c r="D40" s="38"/>
    </row>
    <row r="41" spans="1:4" x14ac:dyDescent="0.25">
      <c r="A41" s="31" t="s">
        <v>86</v>
      </c>
      <c r="B41" s="40">
        <f>99000+20250</f>
        <v>119250</v>
      </c>
      <c r="C41" s="13"/>
      <c r="D41" s="38"/>
    </row>
    <row r="42" spans="1:4" x14ac:dyDescent="0.25">
      <c r="A42" s="15" t="s">
        <v>25</v>
      </c>
      <c r="B42" s="40">
        <f>SUM(B28:B41)</f>
        <v>528500</v>
      </c>
      <c r="C42" s="13"/>
      <c r="D42" s="38"/>
    </row>
    <row r="43" spans="1:4" ht="15.75" thickBot="1" x14ac:dyDescent="0.3">
      <c r="A43" s="29" t="s">
        <v>116</v>
      </c>
      <c r="B43" s="41">
        <f>+B26+B42</f>
        <v>928500</v>
      </c>
      <c r="C43" s="30" t="s">
        <v>117</v>
      </c>
      <c r="D43" s="39">
        <f>+D35+D23+D19</f>
        <v>928500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COMPTE DE RESULTAT SIMPLIFIE</vt:lpstr>
      <vt:lpstr>bilan</vt:lpstr>
    </vt:vector>
  </TitlesOfParts>
  <Company>FIDSUD CDBA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Baptiste POREE</cp:lastModifiedBy>
  <dcterms:created xsi:type="dcterms:W3CDTF">2024-10-04T11:59:21Z</dcterms:created>
  <dcterms:modified xsi:type="dcterms:W3CDTF">2026-03-10T08:16:48Z</dcterms:modified>
</cp:coreProperties>
</file>